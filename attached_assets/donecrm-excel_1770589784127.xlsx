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ipeline" sheetId="3" state="visible" r:id="rId3"/>
    <sheet xmlns:r="http://schemas.openxmlformats.org/officeDocument/2006/relationships" name="Finances" sheetId="4" state="visible" r:id="rId4"/>
    <sheet xmlns:r="http://schemas.openxmlformats.org/officeDocument/2006/relationships" name="Import Origi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€#,##0.00"/>
  </numFmts>
  <fonts count="17">
    <font>
      <name val="Calibri"/>
      <family val="2"/>
      <color theme="1"/>
      <sz val="11"/>
      <scheme val="minor"/>
    </font>
    <font>
      <name val="Arial"/>
      <b val="1"/>
      <color rgb="00F97316"/>
      <sz val="24"/>
    </font>
    <font>
      <color rgb="0094A3B8"/>
    </font>
    <font>
      <name val="Arial"/>
      <b val="1"/>
      <color rgb="00F97316"/>
      <sz val="14"/>
    </font>
    <font>
      <color rgb="0094A3B8"/>
      <sz val="10"/>
    </font>
    <font>
      <b val="1"/>
      <color rgb="00F97316"/>
      <sz val="18"/>
    </font>
    <font>
      <b val="1"/>
      <color rgb="00FFFFFF"/>
    </font>
    <font>
      <b val="1"/>
      <color rgb="00F97316"/>
    </font>
    <font>
      <b val="1"/>
      <color rgb="00FFFFFF"/>
      <sz val="14"/>
    </font>
    <font>
      <b val="1"/>
      <color rgb="003B82F6"/>
      <sz val="12"/>
    </font>
    <font>
      <b val="1"/>
      <color rgb="00A855F7"/>
      <sz val="12"/>
    </font>
    <font>
      <b val="1"/>
      <color rgb="0022C55E"/>
      <sz val="12"/>
    </font>
    <font>
      <b val="1"/>
      <color rgb="00EF4444"/>
      <sz val="12"/>
    </font>
    <font>
      <b val="1"/>
      <color rgb="00F97316"/>
      <sz val="16"/>
    </font>
    <font>
      <b val="1"/>
      <color rgb="0094A3B8"/>
    </font>
    <font>
      <b val="1"/>
      <color rgb="0022C55E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3B82F6"/>
        <bgColor rgb="003B82F6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EF4444"/>
        <b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165" fontId="7" fillId="0" borderId="0" pivotButton="0" quotePrefix="0" xfId="0"/>
    <xf numFmtId="165" fontId="0" fillId="0" borderId="0" pivotButton="0" quotePrefix="0" xfId="0"/>
    <xf numFmtId="0" fontId="8" fillId="3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165" fontId="16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DONECRM - DASHBOARD</t>
        </is>
      </c>
    </row>
    <row r="2">
      <c r="A2" t="inlineStr">
        <is>
          <t>Mis à jour le:</t>
        </is>
      </c>
      <c r="B2" s="2">
        <f>TODAY()</f>
        <v/>
      </c>
    </row>
    <row r="5">
      <c r="A5" s="3" t="inlineStr">
        <is>
          <t>INDICATEURS CLÉS</t>
        </is>
      </c>
    </row>
    <row r="6">
      <c r="A6" s="4" t="inlineStr">
        <is>
          <t>MRR (Monthly)</t>
        </is>
      </c>
      <c r="B6" s="4" t="inlineStr">
        <is>
          <t>ARR (Yearly)</t>
        </is>
      </c>
      <c r="C6" s="4" t="inlineStr">
        <is>
          <t>CA Total</t>
        </is>
      </c>
      <c r="D6" s="4" t="inlineStr">
        <is>
          <t>Marge</t>
        </is>
      </c>
    </row>
    <row r="7">
      <c r="A7" s="5">
        <f>Clients!$K$2</f>
        <v/>
      </c>
      <c r="B7" s="5">
        <f>Clients!$L$2</f>
        <v/>
      </c>
      <c r="C7" s="5">
        <f>Clients!$H$2</f>
        <v/>
      </c>
      <c r="D7" s="5">
        <f>Clients!$H$2-Finances!$D$2</f>
        <v/>
      </c>
    </row>
    <row r="9">
      <c r="A9" s="4" t="inlineStr">
        <is>
          <t>Nbr Clients</t>
        </is>
      </c>
      <c r="B9" s="4" t="inlineStr">
        <is>
          <t>Nbr Prospects</t>
        </is>
      </c>
      <c r="C9" s="4" t="inlineStr">
        <is>
          <t>Nbr Leads</t>
        </is>
      </c>
    </row>
    <row r="10">
      <c r="A10" s="6">
        <f>COUNTIF(Clients!E:E,"Client")</f>
        <v/>
      </c>
      <c r="B10" s="6">
        <f>COUNTIF(Clients!E:E,"Prospect")</f>
        <v/>
      </c>
      <c r="C10" s="6">
        <f>COUNTIF(Clients!E:E,"Lead")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15" customWidth="1" min="4" max="4"/>
    <col width="12" customWidth="1" min="5" max="5"/>
    <col width="10" customWidth="1" min="6" max="6"/>
    <col width="1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0" customWidth="1" min="13" max="13"/>
  </cols>
  <sheetData>
    <row r="1">
      <c r="A1" s="7" t="inlineStr">
        <is>
          <t>ID</t>
        </is>
      </c>
      <c r="B1" s="7" t="inlineStr">
        <is>
          <t>Nom</t>
        </is>
      </c>
      <c r="C1" s="7" t="inlineStr">
        <is>
          <t>Site</t>
        </is>
      </c>
      <c r="D1" s="7" t="inlineStr">
        <is>
          <t>Secteur</t>
        </is>
      </c>
      <c r="E1" s="7" t="inlineStr">
        <is>
          <t>Statut</t>
        </is>
      </c>
      <c r="F1" s="7" t="inlineStr">
        <is>
          <t>Source</t>
        </is>
      </c>
      <c r="G1" s="7" t="inlineStr">
        <is>
          <t>Contacté</t>
        </is>
      </c>
      <c r="H1" s="7" t="inlineStr">
        <is>
          <t>Montant Vente</t>
        </is>
      </c>
      <c r="I1" s="7" t="inlineStr">
        <is>
          <t>Abonnement</t>
        </is>
      </c>
      <c r="J1" s="7" t="inlineStr">
        <is>
          <t>Coût Replit</t>
        </is>
      </c>
      <c r="K1" s="7" t="inlineStr">
        <is>
          <t>MRR Total</t>
        </is>
      </c>
      <c r="L1" s="7" t="inlineStr">
        <is>
          <t>ARR Total</t>
        </is>
      </c>
      <c r="M1" s="7" t="inlineStr">
        <is>
          <t>Notes</t>
        </is>
      </c>
    </row>
    <row r="2">
      <c r="A2" s="8" t="inlineStr">
        <is>
          <t>TOTAUX</t>
        </is>
      </c>
      <c r="H2" s="9">
        <f>SUM(H3:H1000)</f>
        <v/>
      </c>
      <c r="I2" s="9">
        <f>SUM(I3:I1000)</f>
        <v/>
      </c>
      <c r="J2" s="9">
        <f>SUM(J3:J1000)</f>
        <v/>
      </c>
      <c r="K2" s="9">
        <f>I2</f>
        <v/>
      </c>
      <c r="L2" s="9">
        <f>K2*12</f>
        <v/>
      </c>
    </row>
    <row r="3">
      <c r="A3">
        <f>ROW()-2</f>
        <v/>
      </c>
      <c r="B3" t="inlineStr">
        <is>
          <t xml:space="preserve">Viveur </t>
        </is>
      </c>
      <c r="C3" t="inlineStr">
        <is>
          <t>https://viveur-liege.replit.app/</t>
        </is>
      </c>
      <c r="D3" t="inlineStr">
        <is>
          <t>Horeca</t>
        </is>
      </c>
      <c r="E3" t="inlineStr">
        <is>
          <t>Lead</t>
        </is>
      </c>
      <c r="F3" t="inlineStr">
        <is>
          <t>Out</t>
        </is>
      </c>
      <c r="G3" t="inlineStr">
        <is>
          <t>Oui</t>
        </is>
      </c>
      <c r="H3" s="10" t="n">
        <v>0</v>
      </c>
      <c r="I3" s="10" t="n">
        <v>0</v>
      </c>
      <c r="J3" s="10" t="n">
        <v>15.68103448275862</v>
      </c>
      <c r="K3" s="10">
        <f>I3</f>
        <v/>
      </c>
      <c r="L3" s="10">
        <f>K3*12</f>
        <v/>
      </c>
      <c r="M3" t="inlineStr"/>
    </row>
    <row r="4">
      <c r="A4">
        <f>ROW()-2</f>
        <v/>
      </c>
      <c r="B4" t="inlineStr">
        <is>
          <t>DSV frites et burgers</t>
        </is>
      </c>
      <c r="C4" t="inlineStr">
        <is>
          <t>https://dsvburgers.be/</t>
        </is>
      </c>
      <c r="D4" t="inlineStr">
        <is>
          <t>Horeca</t>
        </is>
      </c>
      <c r="E4" t="inlineStr">
        <is>
          <t>Client</t>
        </is>
      </c>
      <c r="F4" t="inlineStr">
        <is>
          <t>Out</t>
        </is>
      </c>
      <c r="G4" t="inlineStr">
        <is>
          <t>Oui</t>
        </is>
      </c>
      <c r="H4" s="10" t="n">
        <v>410.7438016528926</v>
      </c>
      <c r="I4" s="10" t="n">
        <v>0</v>
      </c>
      <c r="J4" s="10" t="n">
        <v>120.6896551724138</v>
      </c>
      <c r="K4" s="10">
        <f>I4</f>
        <v/>
      </c>
      <c r="L4" s="10">
        <f>K4*12</f>
        <v/>
      </c>
      <c r="M4" t="inlineStr"/>
    </row>
    <row r="5">
      <c r="A5">
        <f>ROW()-2</f>
        <v/>
      </c>
      <c r="B5" t="inlineStr">
        <is>
          <t>Kuore</t>
        </is>
      </c>
      <c r="C5" t="inlineStr">
        <is>
          <t>https://kuore.replit.app/</t>
        </is>
      </c>
      <c r="D5" t="inlineStr">
        <is>
          <t>Horeca</t>
        </is>
      </c>
      <c r="E5" t="inlineStr">
        <is>
          <t>Client</t>
        </is>
      </c>
      <c r="F5" t="inlineStr">
        <is>
          <t>Out</t>
        </is>
      </c>
      <c r="G5" t="inlineStr">
        <is>
          <t>Oui</t>
        </is>
      </c>
      <c r="H5" s="10" t="n">
        <v>245.4545454545455</v>
      </c>
      <c r="I5" s="10" t="n">
        <v>16.44628099173554</v>
      </c>
      <c r="J5" s="10" t="n">
        <v>2.362068965517242</v>
      </c>
      <c r="K5" s="10">
        <f>I5</f>
        <v/>
      </c>
      <c r="L5" s="10">
        <f>K5*12</f>
        <v/>
      </c>
      <c r="M5" t="inlineStr"/>
    </row>
    <row r="6">
      <c r="A6">
        <f>ROW()-2</f>
        <v/>
      </c>
      <c r="B6" t="inlineStr">
        <is>
          <t>Konno</t>
        </is>
      </c>
      <c r="C6" t="inlineStr">
        <is>
          <t>https://konno-liege.replit.app/</t>
        </is>
      </c>
      <c r="D6" t="inlineStr">
        <is>
          <t>Horeca</t>
        </is>
      </c>
      <c r="E6" t="inlineStr">
        <is>
          <t>Lead</t>
        </is>
      </c>
      <c r="F6" t="inlineStr">
        <is>
          <t>Out</t>
        </is>
      </c>
      <c r="G6" t="inlineStr">
        <is>
          <t>Oui</t>
        </is>
      </c>
      <c r="H6" s="10" t="n">
        <v>0</v>
      </c>
      <c r="I6" s="10" t="n">
        <v>0</v>
      </c>
      <c r="J6" s="10" t="n">
        <v>2.568965517241379</v>
      </c>
      <c r="K6" s="10">
        <f>I6</f>
        <v/>
      </c>
      <c r="L6" s="10">
        <f>K6*12</f>
        <v/>
      </c>
      <c r="M6" t="inlineStr"/>
    </row>
    <row r="7">
      <c r="A7">
        <f>ROW()-2</f>
        <v/>
      </c>
      <c r="B7" t="inlineStr">
        <is>
          <t>Laurelies,nails</t>
        </is>
      </c>
      <c r="C7" t="inlineStr">
        <is>
          <t>https://laureliesnails.replit.app/</t>
        </is>
      </c>
      <c r="D7" t="inlineStr">
        <is>
          <t>Onglerie</t>
        </is>
      </c>
      <c r="E7" t="inlineStr">
        <is>
          <t>Lead</t>
        </is>
      </c>
      <c r="F7" t="inlineStr">
        <is>
          <t>Out</t>
        </is>
      </c>
      <c r="G7" t="inlineStr">
        <is>
          <t>Oui</t>
        </is>
      </c>
      <c r="H7" s="10" t="n">
        <v>0</v>
      </c>
      <c r="I7" s="10" t="n">
        <v>0</v>
      </c>
      <c r="J7" s="10" t="n">
        <v>0.4051724137931035</v>
      </c>
      <c r="K7" s="10">
        <f>I7</f>
        <v/>
      </c>
      <c r="L7" s="10">
        <f>K7*12</f>
        <v/>
      </c>
      <c r="M7" t="inlineStr"/>
    </row>
    <row r="8">
      <c r="A8">
        <f>ROW()-2</f>
        <v/>
      </c>
      <c r="B8" t="inlineStr">
        <is>
          <t>Ideal Fitness</t>
        </is>
      </c>
      <c r="C8" t="inlineStr">
        <is>
          <t>https://idealfitness.be</t>
        </is>
      </c>
      <c r="D8" t="inlineStr">
        <is>
          <t>Fitness</t>
        </is>
      </c>
      <c r="E8" t="inlineStr">
        <is>
          <t>Client</t>
        </is>
      </c>
      <c r="F8" t="inlineStr">
        <is>
          <t>Out</t>
        </is>
      </c>
      <c r="G8" t="inlineStr">
        <is>
          <t>Oui</t>
        </is>
      </c>
      <c r="H8" s="10" t="n">
        <v>245.4545454545455</v>
      </c>
      <c r="I8" s="10" t="n">
        <v>0</v>
      </c>
      <c r="J8" s="10" t="n">
        <v>14.80172413793104</v>
      </c>
      <c r="K8" s="10">
        <f>I8</f>
        <v/>
      </c>
      <c r="L8" s="10">
        <f>K8*12</f>
        <v/>
      </c>
      <c r="M8" t="inlineStr"/>
    </row>
    <row r="9">
      <c r="A9">
        <f>ROW()-2</f>
        <v/>
      </c>
      <c r="B9" t="inlineStr">
        <is>
          <t>MaxMecaCars</t>
        </is>
      </c>
      <c r="C9" t="inlineStr">
        <is>
          <t>https://maxmecacars.replit.app/</t>
        </is>
      </c>
      <c r="D9" t="inlineStr">
        <is>
          <t>Carrosserie</t>
        </is>
      </c>
      <c r="E9" t="inlineStr">
        <is>
          <t>Prospect</t>
        </is>
      </c>
      <c r="F9" t="inlineStr">
        <is>
          <t>Out</t>
        </is>
      </c>
      <c r="G9" t="inlineStr">
        <is>
          <t>Oui</t>
        </is>
      </c>
      <c r="H9" s="10" t="n">
        <v>0</v>
      </c>
      <c r="I9" s="10" t="n">
        <v>0</v>
      </c>
      <c r="J9" s="10" t="n">
        <v>2.818965517241379</v>
      </c>
      <c r="K9" s="10">
        <f>I9</f>
        <v/>
      </c>
      <c r="L9" s="10">
        <f>K9*12</f>
        <v/>
      </c>
      <c r="M9" t="inlineStr"/>
    </row>
    <row r="10">
      <c r="A10">
        <f>ROW()-2</f>
        <v/>
      </c>
      <c r="B10" t="inlineStr">
        <is>
          <t>Moment</t>
        </is>
      </c>
      <c r="C10" t="inlineStr">
        <is>
          <t>https://moment-liege.replit.app/</t>
        </is>
      </c>
      <c r="D10" t="inlineStr">
        <is>
          <t>Horeca</t>
        </is>
      </c>
      <c r="E10" t="inlineStr">
        <is>
          <t>Lead</t>
        </is>
      </c>
      <c r="F10" t="inlineStr">
        <is>
          <t>Out</t>
        </is>
      </c>
      <c r="G10" t="inlineStr">
        <is>
          <t>Oui</t>
        </is>
      </c>
      <c r="H10" s="10" t="n">
        <v>0</v>
      </c>
      <c r="I10" s="10" t="n">
        <v>0</v>
      </c>
      <c r="J10" s="10" t="n">
        <v>19.74137931034483</v>
      </c>
      <c r="K10" s="10">
        <f>I10</f>
        <v/>
      </c>
      <c r="L10" s="10">
        <f>K10*12</f>
        <v/>
      </c>
      <c r="M10" t="inlineStr"/>
    </row>
    <row r="11">
      <c r="A11">
        <f>ROW()-2</f>
        <v/>
      </c>
      <c r="B11" t="inlineStr">
        <is>
          <t>Mabelita Pizza</t>
        </is>
      </c>
      <c r="C11" t="inlineStr">
        <is>
          <t>https://mabelita-pizza.be/</t>
        </is>
      </c>
      <c r="D11" t="inlineStr">
        <is>
          <t>Horeca</t>
        </is>
      </c>
      <c r="E11" t="inlineStr">
        <is>
          <t>Client</t>
        </is>
      </c>
      <c r="F11" t="inlineStr">
        <is>
          <t>Out</t>
        </is>
      </c>
      <c r="G11" t="inlineStr">
        <is>
          <t>Oui</t>
        </is>
      </c>
      <c r="H11" s="10" t="n">
        <v>245.4545454545455</v>
      </c>
      <c r="I11" s="10" t="n">
        <v>16.44628099173554</v>
      </c>
      <c r="J11" s="10" t="n">
        <v>12.35344827586207</v>
      </c>
      <c r="K11" s="10">
        <f>I11</f>
        <v/>
      </c>
      <c r="L11" s="10">
        <f>K11*12</f>
        <v/>
      </c>
      <c r="M11" t="inlineStr"/>
    </row>
    <row r="12">
      <c r="A12">
        <f>ROW()-2</f>
        <v/>
      </c>
      <c r="B12" t="inlineStr">
        <is>
          <t>Flak</t>
        </is>
      </c>
      <c r="C12" t="inlineStr">
        <is>
          <t>https://flak.madebydone.be/</t>
        </is>
      </c>
      <c r="D12" t="inlineStr">
        <is>
          <t>Horeca</t>
        </is>
      </c>
      <c r="E12" t="inlineStr">
        <is>
          <t>Lead</t>
        </is>
      </c>
      <c r="F12" t="inlineStr">
        <is>
          <t>Out</t>
        </is>
      </c>
      <c r="G12" t="inlineStr">
        <is>
          <t>Oui</t>
        </is>
      </c>
      <c r="H12" s="10" t="n">
        <v>0</v>
      </c>
      <c r="I12" s="10" t="n">
        <v>0</v>
      </c>
      <c r="J12" s="10" t="n">
        <v>20.96551724137931</v>
      </c>
      <c r="K12" s="10">
        <f>I12</f>
        <v/>
      </c>
      <c r="L12" s="10">
        <f>K12*12</f>
        <v/>
      </c>
      <c r="M12" t="inlineStr"/>
    </row>
    <row r="13">
      <c r="A13">
        <f>ROW()-2</f>
        <v/>
      </c>
      <c r="B13" t="inlineStr">
        <is>
          <t>Danieli</t>
        </is>
      </c>
      <c r="C13" t="inlineStr">
        <is>
          <t>https://restaurantdanieli.be</t>
        </is>
      </c>
      <c r="D13" t="inlineStr">
        <is>
          <t>Horeca</t>
        </is>
      </c>
      <c r="E13" t="inlineStr">
        <is>
          <t>Client</t>
        </is>
      </c>
      <c r="F13" t="inlineStr">
        <is>
          <t>Out</t>
        </is>
      </c>
      <c r="G13" t="inlineStr">
        <is>
          <t>Oui</t>
        </is>
      </c>
      <c r="H13" s="10" t="n">
        <v>245.4545454545455</v>
      </c>
      <c r="I13" s="10" t="n">
        <v>16.44628099173554</v>
      </c>
      <c r="J13" s="10" t="n">
        <v>4.517241379310345</v>
      </c>
      <c r="K13" s="10">
        <f>I13</f>
        <v/>
      </c>
      <c r="L13" s="10">
        <f>K13*12</f>
        <v/>
      </c>
      <c r="M13" t="inlineStr"/>
    </row>
    <row r="14">
      <c r="A14">
        <f>ROW()-2</f>
        <v/>
      </c>
      <c r="B14" t="inlineStr">
        <is>
          <t xml:space="preserve">Jéroboam </t>
        </is>
      </c>
      <c r="C14" t="inlineStr">
        <is>
          <t>https://jeroboam.madebydone.be</t>
        </is>
      </c>
      <c r="D14" t="inlineStr">
        <is>
          <t>Horeca</t>
        </is>
      </c>
      <c r="E14" t="inlineStr">
        <is>
          <t>Lead</t>
        </is>
      </c>
      <c r="F14" t="inlineStr">
        <is>
          <t>Out</t>
        </is>
      </c>
      <c r="G14" t="inlineStr">
        <is>
          <t>Oui</t>
        </is>
      </c>
      <c r="H14" s="10" t="n">
        <v>0</v>
      </c>
      <c r="I14" s="10" t="n">
        <v>0</v>
      </c>
      <c r="J14" s="10" t="n">
        <v>1</v>
      </c>
      <c r="K14" s="10">
        <f>I14</f>
        <v/>
      </c>
      <c r="L14" s="10">
        <f>K14*12</f>
        <v/>
      </c>
      <c r="M14" t="inlineStr"/>
    </row>
    <row r="15">
      <c r="A15">
        <f>ROW()-2</f>
        <v/>
      </c>
      <c r="B15" t="inlineStr">
        <is>
          <t>Altro Maccheroni</t>
        </is>
      </c>
      <c r="C15" t="inlineStr">
        <is>
          <t>https://altromaccheroni.madebydone.be/</t>
        </is>
      </c>
      <c r="D15" t="inlineStr">
        <is>
          <t>Horeca</t>
        </is>
      </c>
      <c r="E15" t="inlineStr">
        <is>
          <t>Lead</t>
        </is>
      </c>
      <c r="F15" t="inlineStr">
        <is>
          <t>Out</t>
        </is>
      </c>
      <c r="G15" t="inlineStr">
        <is>
          <t>Oui</t>
        </is>
      </c>
      <c r="H15" s="10" t="n">
        <v>0</v>
      </c>
      <c r="I15" s="10" t="n">
        <v>0</v>
      </c>
      <c r="J15" s="10" t="n">
        <v>2.681034482758621</v>
      </c>
      <c r="K15" s="10">
        <f>I15</f>
        <v/>
      </c>
      <c r="L15" s="10">
        <f>K15*12</f>
        <v/>
      </c>
      <c r="M15" t="inlineStr"/>
    </row>
    <row r="16">
      <c r="A16">
        <f>ROW()-2</f>
        <v/>
      </c>
      <c r="B16" t="inlineStr">
        <is>
          <t>Aste</t>
        </is>
      </c>
      <c r="C16" t="inlineStr">
        <is>
          <t>https://aste-esthetique.be/</t>
        </is>
      </c>
      <c r="D16" t="inlineStr">
        <is>
          <t>Esthétique</t>
        </is>
      </c>
      <c r="E16" t="inlineStr">
        <is>
          <t>Lead</t>
        </is>
      </c>
      <c r="F16" t="inlineStr">
        <is>
          <t>Out</t>
        </is>
      </c>
      <c r="G16" t="inlineStr">
        <is>
          <t>Non</t>
        </is>
      </c>
      <c r="H16" s="10" t="n">
        <v>0</v>
      </c>
      <c r="I16" s="10" t="n">
        <v>24.79338842975207</v>
      </c>
      <c r="J16" s="10" t="n">
        <v>0</v>
      </c>
      <c r="K16" s="10">
        <f>I16</f>
        <v/>
      </c>
      <c r="L16" s="10">
        <f>K16*12</f>
        <v/>
      </c>
      <c r="M16" t="inlineStr"/>
    </row>
    <row r="17">
      <c r="H17" s="10" t="n"/>
      <c r="I17" s="10" t="n"/>
      <c r="J17" s="10" t="n"/>
      <c r="K17" s="10" t="n"/>
      <c r="L17" s="10" t="n"/>
    </row>
    <row r="18">
      <c r="H18" s="10" t="n"/>
      <c r="I18" s="10" t="n"/>
      <c r="J18" s="10" t="n"/>
      <c r="K18" s="10" t="n"/>
      <c r="L18" s="10" t="n"/>
    </row>
    <row r="19">
      <c r="H19" s="10" t="n"/>
      <c r="I19" s="10" t="n"/>
      <c r="J19" s="10" t="n"/>
      <c r="K19" s="10" t="n"/>
      <c r="L19" s="10" t="n"/>
    </row>
    <row r="20">
      <c r="H20" s="10" t="n"/>
      <c r="I20" s="10" t="n"/>
      <c r="J20" s="10" t="n"/>
      <c r="K20" s="10" t="n"/>
      <c r="L20" s="10" t="n"/>
    </row>
    <row r="21">
      <c r="H21" s="10" t="n"/>
      <c r="I21" s="10" t="n"/>
      <c r="J21" s="10" t="n"/>
      <c r="K21" s="10" t="n"/>
      <c r="L21" s="10" t="n"/>
    </row>
    <row r="22">
      <c r="H22" s="10" t="n"/>
      <c r="I22" s="10" t="n"/>
      <c r="J22" s="10" t="n"/>
      <c r="K22" s="10" t="n"/>
      <c r="L22" s="10" t="n"/>
    </row>
    <row r="23">
      <c r="H23" s="10" t="n"/>
      <c r="I23" s="10" t="n"/>
      <c r="J23" s="10" t="n"/>
      <c r="K23" s="10" t="n"/>
      <c r="L23" s="10" t="n"/>
    </row>
    <row r="24">
      <c r="H24" s="10" t="n"/>
      <c r="I24" s="10" t="n"/>
      <c r="J24" s="10" t="n"/>
      <c r="K24" s="10" t="n"/>
      <c r="L24" s="10" t="n"/>
    </row>
    <row r="25">
      <c r="H25" s="10" t="n"/>
      <c r="I25" s="10" t="n"/>
      <c r="J25" s="10" t="n"/>
      <c r="K25" s="10" t="n"/>
      <c r="L25" s="10" t="n"/>
    </row>
    <row r="26">
      <c r="H26" s="10" t="n"/>
      <c r="I26" s="10" t="n"/>
      <c r="J26" s="10" t="n"/>
      <c r="K26" s="10" t="n"/>
      <c r="L26" s="10" t="n"/>
    </row>
    <row r="27">
      <c r="H27" s="10" t="n"/>
      <c r="I27" s="10" t="n"/>
      <c r="J27" s="10" t="n"/>
      <c r="K27" s="10" t="n"/>
      <c r="L27" s="10" t="n"/>
    </row>
    <row r="28">
      <c r="H28" s="10" t="n"/>
      <c r="I28" s="10" t="n"/>
      <c r="J28" s="10" t="n"/>
      <c r="K28" s="10" t="n"/>
      <c r="L28" s="10" t="n"/>
    </row>
    <row r="29">
      <c r="H29" s="10" t="n"/>
      <c r="I29" s="10" t="n"/>
      <c r="J29" s="10" t="n"/>
      <c r="K29" s="10" t="n"/>
      <c r="L29" s="10" t="n"/>
    </row>
    <row r="30">
      <c r="H30" s="10" t="n"/>
      <c r="I30" s="10" t="n"/>
      <c r="J30" s="10" t="n"/>
      <c r="K30" s="10" t="n"/>
      <c r="L30" s="10" t="n"/>
    </row>
    <row r="31">
      <c r="H31" s="10" t="n"/>
      <c r="I31" s="10" t="n"/>
      <c r="J31" s="10" t="n"/>
      <c r="K31" s="10" t="n"/>
      <c r="L31" s="10" t="n"/>
    </row>
    <row r="32">
      <c r="H32" s="10" t="n"/>
      <c r="I32" s="10" t="n"/>
      <c r="J32" s="10" t="n"/>
      <c r="K32" s="10" t="n"/>
      <c r="L32" s="10" t="n"/>
    </row>
    <row r="33">
      <c r="H33" s="10" t="n"/>
      <c r="I33" s="10" t="n"/>
      <c r="J33" s="10" t="n"/>
      <c r="K33" s="10" t="n"/>
      <c r="L33" s="10" t="n"/>
    </row>
    <row r="34">
      <c r="H34" s="10" t="n"/>
      <c r="I34" s="10" t="n"/>
      <c r="J34" s="10" t="n"/>
      <c r="K34" s="10" t="n"/>
      <c r="L34" s="10" t="n"/>
    </row>
    <row r="35">
      <c r="H35" s="10" t="n"/>
      <c r="I35" s="10" t="n"/>
      <c r="J35" s="10" t="n"/>
      <c r="K35" s="10" t="n"/>
      <c r="L35" s="10" t="n"/>
    </row>
    <row r="36">
      <c r="H36" s="10" t="n"/>
      <c r="I36" s="10" t="n"/>
      <c r="J36" s="10" t="n"/>
      <c r="K36" s="10" t="n"/>
      <c r="L36" s="10" t="n"/>
    </row>
    <row r="37">
      <c r="H37" s="10" t="n"/>
      <c r="I37" s="10" t="n"/>
      <c r="J37" s="10" t="n"/>
      <c r="K37" s="10" t="n"/>
      <c r="L37" s="10" t="n"/>
    </row>
    <row r="38">
      <c r="H38" s="10" t="n"/>
      <c r="I38" s="10" t="n"/>
      <c r="J38" s="10" t="n"/>
      <c r="K38" s="10" t="n"/>
      <c r="L38" s="10" t="n"/>
    </row>
    <row r="39">
      <c r="H39" s="10" t="n"/>
      <c r="I39" s="10" t="n"/>
      <c r="J39" s="10" t="n"/>
      <c r="K39" s="10" t="n"/>
      <c r="L39" s="10" t="n"/>
    </row>
    <row r="40">
      <c r="H40" s="10" t="n"/>
      <c r="I40" s="10" t="n"/>
      <c r="J40" s="10" t="n"/>
      <c r="K40" s="10" t="n"/>
      <c r="L40" s="10" t="n"/>
    </row>
    <row r="41">
      <c r="H41" s="10" t="n"/>
      <c r="I41" s="10" t="n"/>
      <c r="J41" s="10" t="n"/>
      <c r="K41" s="10" t="n"/>
      <c r="L41" s="10" t="n"/>
    </row>
    <row r="42">
      <c r="H42" s="10" t="n"/>
      <c r="I42" s="10" t="n"/>
      <c r="J42" s="10" t="n"/>
      <c r="K42" s="10" t="n"/>
      <c r="L42" s="10" t="n"/>
    </row>
    <row r="43">
      <c r="H43" s="10" t="n"/>
      <c r="I43" s="10" t="n"/>
      <c r="J43" s="10" t="n"/>
      <c r="K43" s="10" t="n"/>
      <c r="L43" s="10" t="n"/>
    </row>
    <row r="44">
      <c r="H44" s="10" t="n"/>
      <c r="I44" s="10" t="n"/>
      <c r="J44" s="10" t="n"/>
      <c r="K44" s="10" t="n"/>
      <c r="L44" s="10" t="n"/>
    </row>
    <row r="45">
      <c r="H45" s="10" t="n"/>
      <c r="I45" s="10" t="n"/>
      <c r="J45" s="10" t="n"/>
      <c r="K45" s="10" t="n"/>
      <c r="L45" s="10" t="n"/>
    </row>
    <row r="46">
      <c r="H46" s="10" t="n"/>
      <c r="I46" s="10" t="n"/>
      <c r="J46" s="10" t="n"/>
      <c r="K46" s="10" t="n"/>
      <c r="L46" s="10" t="n"/>
    </row>
    <row r="47">
      <c r="H47" s="10" t="n"/>
      <c r="I47" s="10" t="n"/>
      <c r="J47" s="10" t="n"/>
      <c r="K47" s="10" t="n"/>
      <c r="L47" s="10" t="n"/>
    </row>
    <row r="48">
      <c r="H48" s="10" t="n"/>
      <c r="I48" s="10" t="n"/>
      <c r="J48" s="10" t="n"/>
      <c r="K48" s="10" t="n"/>
      <c r="L48" s="10" t="n"/>
    </row>
    <row r="49">
      <c r="H49" s="10" t="n"/>
      <c r="I49" s="10" t="n"/>
      <c r="J49" s="10" t="n"/>
      <c r="K49" s="10" t="n"/>
      <c r="L49" s="10" t="n"/>
    </row>
    <row r="50">
      <c r="H50" s="10" t="n"/>
      <c r="I50" s="10" t="n"/>
      <c r="J50" s="10" t="n"/>
      <c r="K50" s="10" t="n"/>
      <c r="L50" s="10" t="n"/>
    </row>
    <row r="51">
      <c r="H51" s="10" t="n"/>
      <c r="I51" s="10" t="n"/>
      <c r="J51" s="10" t="n"/>
      <c r="K51" s="10" t="n"/>
      <c r="L51" s="10" t="n"/>
    </row>
    <row r="52">
      <c r="H52" s="10" t="n"/>
      <c r="I52" s="10" t="n"/>
      <c r="J52" s="10" t="n"/>
      <c r="K52" s="10" t="n"/>
      <c r="L52" s="10" t="n"/>
    </row>
    <row r="53">
      <c r="H53" s="10" t="n"/>
      <c r="I53" s="10" t="n"/>
      <c r="J53" s="10" t="n"/>
      <c r="K53" s="10" t="n"/>
      <c r="L53" s="10" t="n"/>
    </row>
    <row r="54">
      <c r="H54" s="10" t="n"/>
      <c r="I54" s="10" t="n"/>
      <c r="J54" s="10" t="n"/>
      <c r="K54" s="10" t="n"/>
      <c r="L54" s="10" t="n"/>
    </row>
    <row r="55">
      <c r="H55" s="10" t="n"/>
      <c r="I55" s="10" t="n"/>
      <c r="J55" s="10" t="n"/>
      <c r="K55" s="10" t="n"/>
      <c r="L55" s="10" t="n"/>
    </row>
    <row r="56">
      <c r="H56" s="10" t="n"/>
      <c r="I56" s="10" t="n"/>
      <c r="J56" s="10" t="n"/>
      <c r="K56" s="10" t="n"/>
      <c r="L56" s="10" t="n"/>
    </row>
    <row r="57">
      <c r="H57" s="10" t="n"/>
      <c r="I57" s="10" t="n"/>
      <c r="J57" s="10" t="n"/>
      <c r="K57" s="10" t="n"/>
      <c r="L57" s="10" t="n"/>
    </row>
    <row r="58">
      <c r="H58" s="10" t="n"/>
      <c r="I58" s="10" t="n"/>
      <c r="J58" s="10" t="n"/>
      <c r="K58" s="10" t="n"/>
      <c r="L58" s="10" t="n"/>
    </row>
    <row r="59">
      <c r="H59" s="10" t="n"/>
      <c r="I59" s="10" t="n"/>
      <c r="J59" s="10" t="n"/>
      <c r="K59" s="10" t="n"/>
      <c r="L59" s="10" t="n"/>
    </row>
    <row r="60">
      <c r="H60" s="10" t="n"/>
      <c r="I60" s="10" t="n"/>
      <c r="J60" s="10" t="n"/>
      <c r="K60" s="10" t="n"/>
      <c r="L60" s="10" t="n"/>
    </row>
    <row r="61">
      <c r="H61" s="10" t="n"/>
      <c r="I61" s="10" t="n"/>
      <c r="J61" s="10" t="n"/>
      <c r="K61" s="10" t="n"/>
      <c r="L61" s="10" t="n"/>
    </row>
    <row r="62">
      <c r="H62" s="10" t="n"/>
      <c r="I62" s="10" t="n"/>
      <c r="J62" s="10" t="n"/>
      <c r="K62" s="10" t="n"/>
      <c r="L62" s="10" t="n"/>
    </row>
    <row r="63">
      <c r="H63" s="10" t="n"/>
      <c r="I63" s="10" t="n"/>
      <c r="J63" s="10" t="n"/>
      <c r="K63" s="10" t="n"/>
      <c r="L63" s="10" t="n"/>
    </row>
    <row r="64">
      <c r="H64" s="10" t="n"/>
      <c r="I64" s="10" t="n"/>
      <c r="J64" s="10" t="n"/>
      <c r="K64" s="10" t="n"/>
      <c r="L64" s="10" t="n"/>
    </row>
    <row r="65">
      <c r="H65" s="10" t="n"/>
      <c r="I65" s="10" t="n"/>
      <c r="J65" s="10" t="n"/>
      <c r="K65" s="10" t="n"/>
      <c r="L65" s="10" t="n"/>
    </row>
    <row r="66">
      <c r="H66" s="10" t="n"/>
      <c r="I66" s="10" t="n"/>
      <c r="J66" s="10" t="n"/>
      <c r="K66" s="10" t="n"/>
      <c r="L66" s="10" t="n"/>
    </row>
    <row r="67">
      <c r="H67" s="10" t="n"/>
      <c r="I67" s="10" t="n"/>
      <c r="J67" s="10" t="n"/>
      <c r="K67" s="10" t="n"/>
      <c r="L67" s="10" t="n"/>
    </row>
    <row r="68">
      <c r="H68" s="10" t="n"/>
      <c r="I68" s="10" t="n"/>
      <c r="J68" s="10" t="n"/>
      <c r="K68" s="10" t="n"/>
      <c r="L68" s="10" t="n"/>
    </row>
    <row r="69">
      <c r="H69" s="10" t="n"/>
      <c r="I69" s="10" t="n"/>
      <c r="J69" s="10" t="n"/>
      <c r="K69" s="10" t="n"/>
      <c r="L69" s="10" t="n"/>
    </row>
    <row r="70">
      <c r="H70" s="10" t="n"/>
      <c r="I70" s="10" t="n"/>
      <c r="J70" s="10" t="n"/>
      <c r="K70" s="10" t="n"/>
      <c r="L70" s="10" t="n"/>
    </row>
    <row r="71">
      <c r="H71" s="10" t="n"/>
      <c r="I71" s="10" t="n"/>
      <c r="J71" s="10" t="n"/>
      <c r="K71" s="10" t="n"/>
      <c r="L71" s="10" t="n"/>
    </row>
    <row r="72">
      <c r="H72" s="10" t="n"/>
      <c r="I72" s="10" t="n"/>
      <c r="J72" s="10" t="n"/>
      <c r="K72" s="10" t="n"/>
      <c r="L72" s="10" t="n"/>
    </row>
    <row r="73">
      <c r="H73" s="10" t="n"/>
      <c r="I73" s="10" t="n"/>
      <c r="J73" s="10" t="n"/>
      <c r="K73" s="10" t="n"/>
      <c r="L73" s="10" t="n"/>
    </row>
    <row r="74">
      <c r="H74" s="10" t="n"/>
      <c r="I74" s="10" t="n"/>
      <c r="J74" s="10" t="n"/>
      <c r="K74" s="10" t="n"/>
      <c r="L74" s="10" t="n"/>
    </row>
    <row r="75">
      <c r="H75" s="10" t="n"/>
      <c r="I75" s="10" t="n"/>
      <c r="J75" s="10" t="n"/>
      <c r="K75" s="10" t="n"/>
      <c r="L75" s="10" t="n"/>
    </row>
    <row r="76">
      <c r="H76" s="10" t="n"/>
      <c r="I76" s="10" t="n"/>
      <c r="J76" s="10" t="n"/>
      <c r="K76" s="10" t="n"/>
      <c r="L76" s="10" t="n"/>
    </row>
    <row r="77">
      <c r="H77" s="10" t="n"/>
      <c r="I77" s="10" t="n"/>
      <c r="J77" s="10" t="n"/>
      <c r="K77" s="10" t="n"/>
      <c r="L77" s="10" t="n"/>
    </row>
    <row r="78">
      <c r="H78" s="10" t="n"/>
      <c r="I78" s="10" t="n"/>
      <c r="J78" s="10" t="n"/>
      <c r="K78" s="10" t="n"/>
      <c r="L78" s="10" t="n"/>
    </row>
    <row r="79">
      <c r="H79" s="10" t="n"/>
      <c r="I79" s="10" t="n"/>
      <c r="J79" s="10" t="n"/>
      <c r="K79" s="10" t="n"/>
      <c r="L79" s="10" t="n"/>
    </row>
    <row r="80">
      <c r="H80" s="10" t="n"/>
      <c r="I80" s="10" t="n"/>
      <c r="J80" s="10" t="n"/>
      <c r="K80" s="10" t="n"/>
      <c r="L80" s="10" t="n"/>
    </row>
    <row r="81">
      <c r="H81" s="10" t="n"/>
      <c r="I81" s="10" t="n"/>
      <c r="J81" s="10" t="n"/>
      <c r="K81" s="10" t="n"/>
      <c r="L81" s="10" t="n"/>
    </row>
    <row r="82">
      <c r="H82" s="10" t="n"/>
      <c r="I82" s="10" t="n"/>
      <c r="J82" s="10" t="n"/>
      <c r="K82" s="10" t="n"/>
      <c r="L82" s="10" t="n"/>
    </row>
    <row r="83">
      <c r="H83" s="10" t="n"/>
      <c r="I83" s="10" t="n"/>
      <c r="J83" s="10" t="n"/>
      <c r="K83" s="10" t="n"/>
      <c r="L83" s="10" t="n"/>
    </row>
    <row r="84">
      <c r="H84" s="10" t="n"/>
      <c r="I84" s="10" t="n"/>
      <c r="J84" s="10" t="n"/>
      <c r="K84" s="10" t="n"/>
      <c r="L84" s="10" t="n"/>
    </row>
    <row r="85">
      <c r="H85" s="10" t="n"/>
      <c r="I85" s="10" t="n"/>
      <c r="J85" s="10" t="n"/>
      <c r="K85" s="10" t="n"/>
      <c r="L85" s="10" t="n"/>
    </row>
    <row r="86">
      <c r="H86" s="10" t="n"/>
      <c r="I86" s="10" t="n"/>
      <c r="J86" s="10" t="n"/>
      <c r="K86" s="10" t="n"/>
      <c r="L86" s="10" t="n"/>
    </row>
    <row r="87">
      <c r="H87" s="10" t="n"/>
      <c r="I87" s="10" t="n"/>
      <c r="J87" s="10" t="n"/>
      <c r="K87" s="10" t="n"/>
      <c r="L87" s="10" t="n"/>
    </row>
    <row r="88">
      <c r="H88" s="10" t="n"/>
      <c r="I88" s="10" t="n"/>
      <c r="J88" s="10" t="n"/>
      <c r="K88" s="10" t="n"/>
      <c r="L88" s="10" t="n"/>
    </row>
    <row r="89">
      <c r="H89" s="10" t="n"/>
      <c r="I89" s="10" t="n"/>
      <c r="J89" s="10" t="n"/>
      <c r="K89" s="10" t="n"/>
      <c r="L89" s="10" t="n"/>
    </row>
    <row r="90">
      <c r="H90" s="10" t="n"/>
      <c r="I90" s="10" t="n"/>
      <c r="J90" s="10" t="n"/>
      <c r="K90" s="10" t="n"/>
      <c r="L90" s="10" t="n"/>
    </row>
    <row r="91">
      <c r="H91" s="10" t="n"/>
      <c r="I91" s="10" t="n"/>
      <c r="J91" s="10" t="n"/>
      <c r="K91" s="10" t="n"/>
      <c r="L91" s="10" t="n"/>
    </row>
    <row r="92">
      <c r="H92" s="10" t="n"/>
      <c r="I92" s="10" t="n"/>
      <c r="J92" s="10" t="n"/>
      <c r="K92" s="10" t="n"/>
      <c r="L92" s="10" t="n"/>
    </row>
    <row r="93">
      <c r="H93" s="10" t="n"/>
      <c r="I93" s="10" t="n"/>
      <c r="J93" s="10" t="n"/>
      <c r="K93" s="10" t="n"/>
      <c r="L93" s="10" t="n"/>
    </row>
    <row r="94">
      <c r="H94" s="10" t="n"/>
      <c r="I94" s="10" t="n"/>
      <c r="J94" s="10" t="n"/>
      <c r="K94" s="10" t="n"/>
      <c r="L94" s="10" t="n"/>
    </row>
    <row r="95">
      <c r="H95" s="10" t="n"/>
      <c r="I95" s="10" t="n"/>
      <c r="J95" s="10" t="n"/>
      <c r="K95" s="10" t="n"/>
      <c r="L95" s="10" t="n"/>
    </row>
    <row r="96">
      <c r="H96" s="10" t="n"/>
      <c r="I96" s="10" t="n"/>
      <c r="J96" s="10" t="n"/>
      <c r="K96" s="10" t="n"/>
      <c r="L96" s="10" t="n"/>
    </row>
    <row r="97">
      <c r="H97" s="10" t="n"/>
      <c r="I97" s="10" t="n"/>
      <c r="J97" s="10" t="n"/>
      <c r="K97" s="10" t="n"/>
      <c r="L97" s="10" t="n"/>
    </row>
    <row r="98">
      <c r="H98" s="10" t="n"/>
      <c r="I98" s="10" t="n"/>
      <c r="J98" s="10" t="n"/>
      <c r="K98" s="10" t="n"/>
      <c r="L98" s="10" t="n"/>
    </row>
    <row r="99">
      <c r="H99" s="10" t="n"/>
      <c r="I99" s="10" t="n"/>
      <c r="J99" s="10" t="n"/>
      <c r="K99" s="10" t="n"/>
      <c r="L99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2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5" max="5"/>
    <col width="20" customWidth="1" min="8" max="8"/>
    <col width="20" customWidth="1" min="11" max="11"/>
  </cols>
  <sheetData>
    <row r="1">
      <c r="B1" s="11" t="inlineStr">
        <is>
          <t>LEADS</t>
        </is>
      </c>
      <c r="E1" s="12" t="inlineStr">
        <is>
          <t>PROSPECTS</t>
        </is>
      </c>
      <c r="H1" s="13" t="inlineStr">
        <is>
          <t>CLIENTS</t>
        </is>
      </c>
      <c r="K1" s="14" t="inlineStr">
        <is>
          <t>CHURNED</t>
        </is>
      </c>
    </row>
    <row r="2">
      <c r="B2" s="15">
        <f>COUNTIF(Clients!E:E,"LEAD")</f>
        <v/>
      </c>
      <c r="E2" s="16">
        <f>COUNTIF(Clients!E:E,"PROSPECT")</f>
        <v/>
      </c>
      <c r="H2" s="17">
        <f>COUNTIF(Clients!E:E,"CLIENT")</f>
        <v/>
      </c>
      <c r="K2" s="18">
        <f>COUNTIF(Clients!E:E,"CHURNE")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</cols>
  <sheetData>
    <row r="1">
      <c r="A1" s="19" t="inlineStr">
        <is>
          <t>SUIVI FINANCIER</t>
        </is>
      </c>
    </row>
    <row r="2">
      <c r="D2">
        <f>B11</f>
        <v/>
      </c>
    </row>
    <row r="3">
      <c r="A3" s="20" t="inlineStr">
        <is>
          <t>COÛTS FIXES</t>
        </is>
      </c>
    </row>
    <row r="4">
      <c r="A4" t="inlineStr">
        <is>
          <t>Meta Ads</t>
        </is>
      </c>
      <c r="B4" s="10" t="n">
        <v>100</v>
      </c>
      <c r="C4" t="inlineStr">
        <is>
          <t>€/mois</t>
        </is>
      </c>
    </row>
    <row r="5">
      <c r="A5" t="inlineStr">
        <is>
          <t>Done (salaires)</t>
        </is>
      </c>
      <c r="B5" s="10">
        <f>(97.27/1.16)+6.99</f>
        <v/>
      </c>
      <c r="C5" t="inlineStr">
        <is>
          <t>€/mois</t>
        </is>
      </c>
    </row>
    <row r="7">
      <c r="A7" s="20" t="inlineStr">
        <is>
          <t>COÛTS VARIABLES</t>
        </is>
      </c>
    </row>
    <row r="8">
      <c r="A8" t="inlineStr">
        <is>
          <t>Total Replit</t>
        </is>
      </c>
      <c r="B8" s="10">
        <f>Clients!$J$2</f>
        <v/>
      </c>
      <c r="C8" t="inlineStr">
        <is>
          <t>€/mois</t>
        </is>
      </c>
    </row>
    <row r="9">
      <c r="A9" t="inlineStr">
        <is>
          <t>Total Domaines</t>
        </is>
      </c>
      <c r="B9" s="10" t="n">
        <v>0</v>
      </c>
      <c r="C9" t="inlineStr">
        <is>
          <t>€/an</t>
        </is>
      </c>
    </row>
    <row r="11">
      <c r="A11" s="8" t="inlineStr">
        <is>
          <t>TOTAL COÛTS</t>
        </is>
      </c>
      <c r="B11" s="21">
        <f>B4+B5+B8</f>
        <v/>
      </c>
    </row>
    <row r="13">
      <c r="A13" s="20" t="inlineStr">
        <is>
          <t>REVENUS</t>
        </is>
      </c>
    </row>
    <row r="14">
      <c r="A14" t="inlineStr">
        <is>
          <t>Ventes Totales</t>
        </is>
      </c>
      <c r="B14" s="10">
        <f>Clients!$H$2</f>
        <v/>
      </c>
    </row>
    <row r="15">
      <c r="A15" t="inlineStr">
        <is>
          <t>MRR Total</t>
        </is>
      </c>
      <c r="B15" s="10">
        <f>Clients!$K$2</f>
        <v/>
      </c>
    </row>
    <row r="16">
      <c r="A16" t="inlineStr">
        <is>
          <t>ARR Total</t>
        </is>
      </c>
      <c r="B16" s="10">
        <f>Clients!$L$2</f>
        <v/>
      </c>
    </row>
    <row r="18">
      <c r="A18" s="22" t="inlineStr">
        <is>
          <t>MARGE</t>
        </is>
      </c>
      <c r="B18" s="21">
        <f>B14-B11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Données originales importées depuis Gestion_V1.xlsx</t>
        </is>
      </c>
    </row>
    <row r="2">
      <c r="A2" t="inlineStr">
        <is>
          <t>Cette feuille contient les données brutes importées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2026-02-08T22:08:31Z</dcterms:created>
  <dcterms:modified xmlns:dcterms="http://purl.org/dc/terms/" xmlns:xsi="http://www.w3.org/2001/XMLSchema-instance" xsi:type="dcterms:W3CDTF">2026-02-08T22:08:55Z</dcterms:modified>
</cp:coreProperties>
</file>